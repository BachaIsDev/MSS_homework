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bacha\Desktop\"/>
    </mc:Choice>
  </mc:AlternateContent>
  <xr:revisionPtr revIDLastSave="0" documentId="13_ncr:1_{42E9AC22-89BA-4F36-9F27-068FC74CDB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G15" i="1"/>
  <c r="C5" i="1"/>
  <c r="F13" i="1"/>
  <c r="AG12" i="1"/>
  <c r="AH12" i="1"/>
  <c r="AI12" i="1"/>
  <c r="AJ12" i="1" s="1"/>
  <c r="H12" i="1"/>
  <c r="I12" i="1"/>
  <c r="J12" i="1"/>
  <c r="K12" i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C4" i="1"/>
  <c r="G12" i="1"/>
</calcChain>
</file>

<file path=xl/sharedStrings.xml><?xml version="1.0" encoding="utf-8"?>
<sst xmlns="http://schemas.openxmlformats.org/spreadsheetml/2006/main" count="12" uniqueCount="11">
  <si>
    <t>L</t>
  </si>
  <si>
    <t>dx</t>
  </si>
  <si>
    <t>dt</t>
  </si>
  <si>
    <t>t</t>
  </si>
  <si>
    <t>Cp</t>
  </si>
  <si>
    <t>ro</t>
  </si>
  <si>
    <t>lamda</t>
  </si>
  <si>
    <t>T</t>
  </si>
  <si>
    <t>T_start</t>
  </si>
  <si>
    <t>T_end</t>
  </si>
  <si>
    <t>T_iter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</si>
</sst>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/>
    <xf numFmtId="166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24"/>
  <sheetViews>
    <sheetView tabSelected="1" zoomScale="85" zoomScaleNormal="85" workbookViewId="0">
      <selection activeCell="G15" sqref="G15:AI15"/>
    </sheetView>
  </sheetViews>
  <sheetFormatPr defaultRowHeight="15" x14ac:dyDescent="0.25"/>
  <cols>
    <col min="6" max="6" width="4" bestFit="1" customWidth="1"/>
    <col min="7" max="36" width="7.140625" bestFit="1" customWidth="1"/>
  </cols>
  <sheetData>
    <row r="1" spans="2:36" x14ac:dyDescent="0.25"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2:36" x14ac:dyDescent="0.25"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2:36" x14ac:dyDescent="0.25">
      <c r="B3" s="4" t="s">
        <v>0</v>
      </c>
      <c r="C3" s="4">
        <v>0.1</v>
      </c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2:36" x14ac:dyDescent="0.25">
      <c r="B4" s="4" t="s">
        <v>1</v>
      </c>
      <c r="C4" s="5">
        <f>C3/30</f>
        <v>3.3333333333333335E-3</v>
      </c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2:36" x14ac:dyDescent="0.25">
      <c r="B5" s="4" t="s">
        <v>2</v>
      </c>
      <c r="C5" s="5">
        <f>(C9*C8*C4^2)/(2*C10)</f>
        <v>0.4333333333333334</v>
      </c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2:36" x14ac:dyDescent="0.25">
      <c r="B6" s="4" t="s">
        <v>3</v>
      </c>
      <c r="C6" s="4">
        <v>60</v>
      </c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2:36" x14ac:dyDescent="0.25"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2:36" x14ac:dyDescent="0.25">
      <c r="B8" s="4" t="s">
        <v>4</v>
      </c>
      <c r="C8" s="4">
        <v>460</v>
      </c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2:36" x14ac:dyDescent="0.25">
      <c r="B9" s="4" t="s">
        <v>5</v>
      </c>
      <c r="C9" s="4">
        <v>7800</v>
      </c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2:36" x14ac:dyDescent="0.25">
      <c r="B10" s="4" t="s">
        <v>6</v>
      </c>
      <c r="C10" s="4">
        <v>46</v>
      </c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2:36" x14ac:dyDescent="0.25">
      <c r="E11" s="1"/>
      <c r="F11" s="2">
        <v>1</v>
      </c>
      <c r="G11" s="2">
        <v>2</v>
      </c>
      <c r="H11" s="2">
        <v>3</v>
      </c>
      <c r="I11" s="2">
        <v>4</v>
      </c>
      <c r="J11" s="2">
        <v>5</v>
      </c>
      <c r="K11" s="2">
        <v>6</v>
      </c>
      <c r="L11" s="2">
        <v>7</v>
      </c>
      <c r="M11" s="2">
        <v>8</v>
      </c>
      <c r="N11" s="2">
        <v>9</v>
      </c>
      <c r="O11" s="2">
        <v>10</v>
      </c>
      <c r="P11" s="2">
        <v>11</v>
      </c>
      <c r="Q11" s="2">
        <v>12</v>
      </c>
      <c r="R11" s="2">
        <v>13</v>
      </c>
      <c r="S11" s="2">
        <v>14</v>
      </c>
      <c r="T11" s="2">
        <v>15</v>
      </c>
      <c r="U11" s="2">
        <v>16</v>
      </c>
      <c r="V11" s="2">
        <v>17</v>
      </c>
      <c r="W11" s="2">
        <v>18</v>
      </c>
      <c r="X11" s="2">
        <v>19</v>
      </c>
      <c r="Y11" s="2">
        <v>20</v>
      </c>
      <c r="Z11" s="2">
        <v>21</v>
      </c>
      <c r="AA11" s="2">
        <v>22</v>
      </c>
      <c r="AB11" s="2">
        <v>23</v>
      </c>
      <c r="AC11" s="2">
        <v>24</v>
      </c>
      <c r="AD11" s="2">
        <v>25</v>
      </c>
      <c r="AE11" s="2">
        <v>26</v>
      </c>
      <c r="AF11" s="2">
        <v>27</v>
      </c>
      <c r="AG11" s="2">
        <v>28</v>
      </c>
      <c r="AH11" s="2">
        <v>29</v>
      </c>
      <c r="AI11" s="2">
        <v>30</v>
      </c>
      <c r="AJ11" s="2">
        <v>31</v>
      </c>
    </row>
    <row r="12" spans="2:36" x14ac:dyDescent="0.25">
      <c r="B12" s="4" t="s">
        <v>8</v>
      </c>
      <c r="C12" s="4">
        <v>300</v>
      </c>
      <c r="E12" s="1" t="s">
        <v>0</v>
      </c>
      <c r="F12" s="2">
        <v>0</v>
      </c>
      <c r="G12" s="3">
        <f>F12+$C$4</f>
        <v>3.3333333333333335E-3</v>
      </c>
      <c r="H12" s="3">
        <f t="shared" ref="H12:AF12" si="0">G12+$C$4</f>
        <v>6.6666666666666671E-3</v>
      </c>
      <c r="I12" s="3">
        <f t="shared" si="0"/>
        <v>0.01</v>
      </c>
      <c r="J12" s="3">
        <f t="shared" si="0"/>
        <v>1.3333333333333334E-2</v>
      </c>
      <c r="K12" s="3">
        <f t="shared" si="0"/>
        <v>1.6666666666666666E-2</v>
      </c>
      <c r="L12" s="3">
        <f t="shared" si="0"/>
        <v>0.02</v>
      </c>
      <c r="M12" s="3">
        <f t="shared" si="0"/>
        <v>2.3333333333333334E-2</v>
      </c>
      <c r="N12" s="3">
        <f t="shared" si="0"/>
        <v>2.6666666666666668E-2</v>
      </c>
      <c r="O12" s="3">
        <f t="shared" si="0"/>
        <v>3.0000000000000002E-2</v>
      </c>
      <c r="P12" s="3">
        <f t="shared" si="0"/>
        <v>3.3333333333333333E-2</v>
      </c>
      <c r="Q12" s="3">
        <f t="shared" si="0"/>
        <v>3.6666666666666667E-2</v>
      </c>
      <c r="R12" s="3">
        <f t="shared" si="0"/>
        <v>0.04</v>
      </c>
      <c r="S12" s="3">
        <f t="shared" si="0"/>
        <v>4.3333333333333335E-2</v>
      </c>
      <c r="T12" s="3">
        <f t="shared" si="0"/>
        <v>4.6666666666666669E-2</v>
      </c>
      <c r="U12" s="3">
        <f t="shared" si="0"/>
        <v>0.05</v>
      </c>
      <c r="V12" s="3">
        <f t="shared" si="0"/>
        <v>5.3333333333333337E-2</v>
      </c>
      <c r="W12" s="3">
        <f t="shared" si="0"/>
        <v>5.6666666666666671E-2</v>
      </c>
      <c r="X12" s="3">
        <f t="shared" si="0"/>
        <v>6.0000000000000005E-2</v>
      </c>
      <c r="Y12" s="3">
        <f t="shared" si="0"/>
        <v>6.3333333333333339E-2</v>
      </c>
      <c r="Z12" s="3">
        <f t="shared" si="0"/>
        <v>6.6666666666666666E-2</v>
      </c>
      <c r="AA12" s="3">
        <f t="shared" si="0"/>
        <v>6.9999999999999993E-2</v>
      </c>
      <c r="AB12" s="3">
        <f t="shared" si="0"/>
        <v>7.333333333333332E-2</v>
      </c>
      <c r="AC12" s="3">
        <f t="shared" si="0"/>
        <v>7.6666666666666647E-2</v>
      </c>
      <c r="AD12" s="3">
        <f t="shared" si="0"/>
        <v>7.9999999999999974E-2</v>
      </c>
      <c r="AE12" s="3">
        <f t="shared" si="0"/>
        <v>8.3333333333333301E-2</v>
      </c>
      <c r="AF12" s="3">
        <f t="shared" si="0"/>
        <v>8.6666666666666628E-2</v>
      </c>
      <c r="AG12" s="3">
        <f t="shared" ref="AG12:AJ12" si="1">AF12+$C$4</f>
        <v>8.9999999999999955E-2</v>
      </c>
      <c r="AH12" s="3">
        <f t="shared" si="1"/>
        <v>9.3333333333333282E-2</v>
      </c>
      <c r="AI12" s="3">
        <f t="shared" si="1"/>
        <v>9.6666666666666609E-2</v>
      </c>
      <c r="AJ12" s="3">
        <f t="shared" si="1"/>
        <v>9.9999999999999936E-2</v>
      </c>
    </row>
    <row r="13" spans="2:36" x14ac:dyDescent="0.25">
      <c r="B13" s="4" t="s">
        <v>9</v>
      </c>
      <c r="C13" s="4">
        <v>100</v>
      </c>
      <c r="E13" s="1" t="s">
        <v>7</v>
      </c>
      <c r="F13" s="2">
        <f>C12</f>
        <v>300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100</v>
      </c>
    </row>
    <row r="14" spans="2:36" x14ac:dyDescent="0.25"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2:36" x14ac:dyDescent="0.25">
      <c r="E15" s="1" t="s">
        <v>10</v>
      </c>
      <c r="F15" s="2"/>
      <c r="G15" s="2">
        <f>G13+(($C$10*$C$5)/($C$9*$C$8))*((H13-2*G13+F13)/($C$4^2))</f>
        <v>150</v>
      </c>
      <c r="H15" s="2">
        <f t="shared" ref="H15:AI15" si="2">H13+(($C$10*$C$5)/($C$9*$C$8))*((I13-2*H13+G13)/($C$4^2))</f>
        <v>0</v>
      </c>
      <c r="I15" s="2">
        <f t="shared" si="2"/>
        <v>0</v>
      </c>
      <c r="J15" s="2">
        <f t="shared" si="2"/>
        <v>0</v>
      </c>
      <c r="K15" s="2">
        <f t="shared" si="2"/>
        <v>0</v>
      </c>
      <c r="L15" s="2">
        <f t="shared" si="2"/>
        <v>0</v>
      </c>
      <c r="M15" s="2">
        <f t="shared" si="2"/>
        <v>0</v>
      </c>
      <c r="N15" s="2">
        <f t="shared" si="2"/>
        <v>0</v>
      </c>
      <c r="O15" s="2">
        <f t="shared" si="2"/>
        <v>0</v>
      </c>
      <c r="P15" s="2">
        <f t="shared" si="2"/>
        <v>0</v>
      </c>
      <c r="Q15" s="2">
        <f t="shared" si="2"/>
        <v>0</v>
      </c>
      <c r="R15" s="2">
        <f t="shared" si="2"/>
        <v>0</v>
      </c>
      <c r="S15" s="2">
        <f t="shared" si="2"/>
        <v>0</v>
      </c>
      <c r="T15" s="2">
        <f t="shared" si="2"/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2">
        <f t="shared" si="2"/>
        <v>0</v>
      </c>
      <c r="Y15" s="2">
        <f t="shared" si="2"/>
        <v>0</v>
      </c>
      <c r="Z15" s="2">
        <f t="shared" si="2"/>
        <v>0</v>
      </c>
      <c r="AA15" s="2">
        <f t="shared" si="2"/>
        <v>0</v>
      </c>
      <c r="AB15" s="2">
        <f t="shared" si="2"/>
        <v>0</v>
      </c>
      <c r="AC15" s="2">
        <f t="shared" si="2"/>
        <v>0</v>
      </c>
      <c r="AD15" s="2">
        <f t="shared" si="2"/>
        <v>0</v>
      </c>
      <c r="AE15" s="2">
        <f t="shared" si="2"/>
        <v>0</v>
      </c>
      <c r="AF15" s="2">
        <f t="shared" si="2"/>
        <v>0</v>
      </c>
      <c r="AG15" s="2">
        <f t="shared" si="2"/>
        <v>0</v>
      </c>
      <c r="AH15" s="2">
        <f t="shared" si="2"/>
        <v>0</v>
      </c>
      <c r="AI15" s="2">
        <f t="shared" si="2"/>
        <v>50</v>
      </c>
      <c r="AJ15" s="2"/>
    </row>
    <row r="16" spans="2:36" x14ac:dyDescent="0.25"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5:36" x14ac:dyDescent="0.25"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5:36" x14ac:dyDescent="0.25"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5:36" x14ac:dyDescent="0.25"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5:36" x14ac:dyDescent="0.25"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5:36" x14ac:dyDescent="0.25"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5:36" x14ac:dyDescent="0.25"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5:36" x14ac:dyDescent="0.25"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5:36" x14ac:dyDescent="0.25"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bacha</dc:creator>
  <cp:lastModifiedBy>bacha</cp:lastModifiedBy>
  <dcterms:created xsi:type="dcterms:W3CDTF">2015-06-05T18:17:20Z</dcterms:created>
  <dcterms:modified xsi:type="dcterms:W3CDTF">2021-09-29T08:00:54Z</dcterms:modified>
</cp:coreProperties>
</file>